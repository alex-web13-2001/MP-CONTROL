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/>
  <mc:AlternateContent xmlns:mc="http://schemas.openxmlformats.org/markup-compatibility/2006">
    <mc:Choice Requires="x15">
      <x15ac:absPath xmlns:x15ac="http://schemas.microsoft.com/office/spreadsheetml/2010/11/ac" url="/Users/andmironov/Downloads/"/>
    </mc:Choice>
  </mc:AlternateContent>
  <xr:revisionPtr revIDLastSave="0" documentId="13_ncr:1_{63D25102-DDE1-7440-A696-5CE286277EDA}" xr6:coauthVersionLast="47" xr6:coauthVersionMax="47" xr10:uidLastSave="{00000000-0000-0000-0000-000000000000}"/>
  <bookViews>
    <workbookView xWindow="0" yWindow="680" windowWidth="30240" windowHeight="17280" xr2:uid="{00000000-000D-0000-FFFF-FFFF00000000}"/>
  </bookViews>
  <sheets>
    <sheet name="Нормативное время доставки" sheetId="3" r:id="rId1"/>
  </sheets>
  <externalReferences>
    <externalReference r:id="rId2"/>
  </externalReferences>
  <definedNames>
    <definedName name="f0dc96c6222a403080c007be8425481a0" comment="8​​9​3‌d‌a​e​c‍8​b​7‌1​a​4​1‌1‍f​a​1‌b​8​5‌1‍9​2​4‌6‌f​0‌5​7‍4​9​f​3‌d​a​5​e‍5​1​b‌f​b‌4‌4​5‍3​4​b‌a​4‌8‌a‌6‍3​1​9‌7‌d​f​0‍b​0​7‌b​9​d‌0​4‍3​a​c‌d​2‌1‌c​4‍8​2​f‌b‌9​c‌4‌6‍6​a​2​2‌0​b‌4​2‍2​7​e‌0‌1​3‌1‌6‍9​8​b‌b‌4​2​5‌4‍0​4​c​9‌4‌5‌b‍e​6​a​4​5‌5‌b‌d‍6" hidden="1">[1]Sheet1!$A$1</definedName>
    <definedName name="f0dc96c6222a403080c007be8425481a1" comment="​e​3‌​‌​‍​​​‌​‌​‍​​‌‌‌​‌‍​​‌‌​‌‌‍​​‌‌‌‌​‍​​​​‌‌​‍​​‌​‌‌‌‍​​‌​​‌‍​​‌​‌‌‌‍​​‌‌​‌​7" hidden="1">[1]Sheet1!$A$1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B27" i="3"/>
</calcChain>
</file>

<file path=xl/sharedStrings.xml><?xml version="1.0" encoding="utf-8"?>
<sst xmlns="http://schemas.openxmlformats.org/spreadsheetml/2006/main" count="82" uniqueCount="34">
  <si>
    <t>Москва, МО и Дальние регионы</t>
  </si>
  <si>
    <t>Санкт-Петербург и СЗО</t>
  </si>
  <si>
    <t>Казань</t>
  </si>
  <si>
    <t>Воронеж</t>
  </si>
  <si>
    <t>Уфа</t>
  </si>
  <si>
    <t>Ярославль</t>
  </si>
  <si>
    <t>Дальний Восток</t>
  </si>
  <si>
    <t>Красноярск</t>
  </si>
  <si>
    <t>Самара</t>
  </si>
  <si>
    <t>Саратов</t>
  </si>
  <si>
    <t>Тюмень</t>
  </si>
  <si>
    <t>Калининград</t>
  </si>
  <si>
    <t>Беларусь</t>
  </si>
  <si>
    <t>Откуда -&gt; куда</t>
  </si>
  <si>
    <t>Приоритетный кластер</t>
  </si>
  <si>
    <t>Альтернативный кластер для поставки</t>
  </si>
  <si>
    <t>1. Слева отображаем кластер отгрузки, сверху (по горизонтали) — кластер доставки.</t>
  </si>
  <si>
    <t>-</t>
  </si>
  <si>
    <t>Оренбург</t>
  </si>
  <si>
    <t>Пермь</t>
  </si>
  <si>
    <t>Омск</t>
  </si>
  <si>
    <t>Новосибирск</t>
  </si>
  <si>
    <t>Ростов</t>
  </si>
  <si>
    <t>Тверь</t>
  </si>
  <si>
    <t>Екатеринбург</t>
  </si>
  <si>
    <t>Количество альтернативных кластеров</t>
  </si>
  <si>
    <r>
      <t xml:space="preserve">3. Посмотрите с каким нормативным временем будут учитываться ваши заказы в кластер </t>
    </r>
    <r>
      <rPr>
        <b/>
        <sz val="25"/>
        <color theme="1"/>
        <rFont val="Arial"/>
        <family val="2"/>
        <charset val="204"/>
      </rPr>
      <t>Казань</t>
    </r>
    <r>
      <rPr>
        <sz val="25"/>
        <color theme="1"/>
        <rFont val="Arial"/>
        <family val="2"/>
        <charset val="204"/>
      </rPr>
      <t xml:space="preserve">. Из </t>
    </r>
    <r>
      <rPr>
        <b/>
        <sz val="25"/>
        <color theme="1"/>
        <rFont val="Arial"/>
        <family val="2"/>
        <charset val="204"/>
      </rPr>
      <t>Казани</t>
    </r>
    <r>
      <rPr>
        <sz val="25"/>
        <color theme="1"/>
        <rFont val="Arial"/>
        <family val="2"/>
        <charset val="204"/>
      </rPr>
      <t xml:space="preserve"> — за 28 часов. В этот кластер стоит сделать поставку, чтобы ваши товары доставлялись быстро и среднее время доставки улучшалось, а затраты на логистику уменьшились. </t>
    </r>
  </si>
  <si>
    <r>
      <t xml:space="preserve">4. Если поставка в кластер </t>
    </r>
    <r>
      <rPr>
        <b/>
        <sz val="25"/>
        <color theme="1"/>
        <rFont val="Arial"/>
        <family val="2"/>
        <charset val="204"/>
      </rPr>
      <t>Казань</t>
    </r>
    <r>
      <rPr>
        <sz val="25"/>
        <color theme="1"/>
        <rFont val="Arial"/>
        <family val="2"/>
        <charset val="204"/>
      </rPr>
      <t xml:space="preserve"> недоступна, выберите альтернативные кластеры — они выделены жёлтым цветом. Например, можно привезти товары в </t>
    </r>
    <r>
      <rPr>
        <b/>
        <sz val="25"/>
        <color theme="1"/>
        <rFont val="Arial"/>
        <family val="2"/>
        <charset val="204"/>
      </rPr>
      <t xml:space="preserve">Уфу </t>
    </r>
    <r>
      <rPr>
        <sz val="25"/>
        <color theme="1"/>
        <rFont val="Arial"/>
        <family val="2"/>
        <charset val="204"/>
      </rPr>
      <t>или</t>
    </r>
    <r>
      <rPr>
        <b/>
        <sz val="25"/>
        <color theme="1"/>
        <rFont val="Arial"/>
        <family val="2"/>
        <charset val="204"/>
      </rPr>
      <t xml:space="preserve"> Самару </t>
    </r>
    <r>
      <rPr>
        <sz val="25"/>
        <color theme="1"/>
        <rFont val="Arial"/>
        <family val="2"/>
        <charset val="204"/>
      </rPr>
      <t xml:space="preserve">— нормативное время доставки из этих кластеров в </t>
    </r>
    <r>
      <rPr>
        <b/>
        <sz val="25"/>
        <color theme="1"/>
        <rFont val="Arial"/>
        <family val="2"/>
        <charset val="204"/>
      </rPr>
      <t>Казань</t>
    </r>
    <r>
      <rPr>
        <sz val="25"/>
        <color theme="1"/>
        <rFont val="Arial"/>
        <family val="2"/>
        <charset val="204"/>
      </rPr>
      <t xml:space="preserve"> составит 45 часов.</t>
    </r>
  </si>
  <si>
    <r>
      <t xml:space="preserve">2. Определите в каком кластере есть спрос на ваши товары. Например, в кластере </t>
    </r>
    <r>
      <rPr>
        <b/>
        <sz val="25"/>
        <color theme="1"/>
        <rFont val="Arial"/>
        <family val="2"/>
        <charset val="204"/>
      </rPr>
      <t>Казань</t>
    </r>
    <r>
      <rPr>
        <sz val="25"/>
        <color theme="1"/>
        <rFont val="Arial"/>
        <family val="2"/>
        <charset val="204"/>
      </rPr>
      <t>.</t>
    </r>
  </si>
  <si>
    <t>Краснодар</t>
  </si>
  <si>
    <t>Махачкала</t>
  </si>
  <si>
    <t>Астана</t>
  </si>
  <si>
    <t>Алматы</t>
  </si>
  <si>
    <t>Невинномысск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</si>
</sst>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25"/>
      <color theme="1"/>
      <name val="Arial"/>
      <family val="2"/>
      <charset val="204"/>
    </font>
    <font>
      <sz val="25"/>
      <color theme="1"/>
      <name val="Calibri"/>
      <family val="2"/>
      <charset val="204"/>
      <scheme val="minor"/>
    </font>
    <font>
      <b/>
      <sz val="25"/>
      <color theme="1"/>
      <name val="Arial"/>
      <family val="2"/>
      <charset val="204"/>
    </font>
    <font>
      <sz val="16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/>
    <xf numFmtId="0" fontId="2" fillId="4" borderId="0" xfId="0" applyFont="1" applyFill="1" applyAlignment="1">
      <alignment horizontal="left"/>
    </xf>
    <xf numFmtId="1" fontId="7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0" borderId="0" xfId="0" applyFont="1"/>
    <xf numFmtId="0" fontId="8" fillId="6" borderId="0" xfId="0" applyFont="1" applyFill="1" applyAlignment="1">
      <alignment vertical="center"/>
    </xf>
    <xf numFmtId="0" fontId="9" fillId="0" borderId="0" xfId="0" applyFont="1"/>
    <xf numFmtId="0" fontId="8" fillId="6" borderId="0" xfId="0" applyFont="1" applyFill="1"/>
    <xf numFmtId="0" fontId="0" fillId="4" borderId="0" xfId="0" applyFill="1"/>
    <xf numFmtId="0" fontId="2" fillId="4" borderId="0" xfId="0" applyFont="1" applyFill="1"/>
    <xf numFmtId="0" fontId="3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тех. лист "/>
      <sheetName val="#REF"/>
      <sheetName val="CPI"/>
      <sheetName val="Electro"/>
      <sheetName val="Home"/>
      <sheetName val="DATA MAIN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Links in Свод по ЗП (14)(AutoRe"/>
      <sheetName val="Лист1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Таблица1"/>
      <sheetName val="Links in Выплаты на основе акци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  <sheetName val="Links in 3.7.20000 ОДДС (4).xls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>
        <row r="1">
          <cell r="A1" t="str">
            <v>Sheet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Sheet</v>
          </cell>
        </row>
      </sheetData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299E-5855-D041-B191-56A2AE56CCC4}">
  <dimension ref="A1:DI38"/>
  <sheetViews>
    <sheetView tabSelected="1" zoomScale="41" zoomScaleNormal="25" workbookViewId="0"/>
  </sheetViews>
  <sheetFormatPr baseColWidth="10" defaultColWidth="8.83203125" defaultRowHeight="21" x14ac:dyDescent="0.25"/>
  <cols>
    <col min="1" max="1" width="63.5" style="10" customWidth="1"/>
    <col min="2" max="2" width="30.1640625" customWidth="1"/>
    <col min="3" max="3" width="30.5" customWidth="1"/>
    <col min="4" max="10" width="17.6640625" customWidth="1"/>
    <col min="11" max="11" width="22.6640625" customWidth="1"/>
    <col min="12" max="13" width="17.6640625" customWidth="1"/>
    <col min="14" max="15" width="22.6640625" customWidth="1"/>
    <col min="16" max="20" width="17.6640625" customWidth="1"/>
    <col min="21" max="21" width="23.33203125" customWidth="1"/>
    <col min="22" max="22" width="17.6640625" customWidth="1"/>
    <col min="23" max="23" width="22.6640625" customWidth="1"/>
    <col min="24" max="24" width="17.6640625" customWidth="1"/>
    <col min="25" max="26" width="23.33203125" customWidth="1"/>
  </cols>
  <sheetData>
    <row r="1" spans="1:35" s="10" customFormat="1" ht="42" x14ac:dyDescent="0.25">
      <c r="A1" s="22" t="s">
        <v>13</v>
      </c>
      <c r="B1" s="23" t="s">
        <v>0</v>
      </c>
      <c r="C1" s="24" t="s">
        <v>1</v>
      </c>
      <c r="D1" s="25" t="s">
        <v>23</v>
      </c>
      <c r="E1" s="25" t="s">
        <v>5</v>
      </c>
      <c r="F1" s="25" t="s">
        <v>3</v>
      </c>
      <c r="G1" s="25" t="s">
        <v>2</v>
      </c>
      <c r="H1" s="25" t="s">
        <v>8</v>
      </c>
      <c r="I1" s="25" t="s">
        <v>9</v>
      </c>
      <c r="J1" s="25" t="s">
        <v>18</v>
      </c>
      <c r="K1" s="25" t="s">
        <v>24</v>
      </c>
      <c r="L1" s="25" t="s">
        <v>19</v>
      </c>
      <c r="M1" s="25" t="s">
        <v>4</v>
      </c>
      <c r="N1" s="25" t="s">
        <v>7</v>
      </c>
      <c r="O1" s="25" t="s">
        <v>21</v>
      </c>
      <c r="P1" s="25" t="s">
        <v>20</v>
      </c>
      <c r="Q1" s="25" t="s">
        <v>10</v>
      </c>
      <c r="R1" s="25" t="s">
        <v>22</v>
      </c>
      <c r="S1" s="25" t="s">
        <v>29</v>
      </c>
      <c r="T1" s="25" t="s">
        <v>30</v>
      </c>
      <c r="U1" s="25" t="s">
        <v>33</v>
      </c>
      <c r="V1" s="26" t="s">
        <v>6</v>
      </c>
      <c r="W1" s="25" t="s">
        <v>11</v>
      </c>
      <c r="X1" s="25" t="s">
        <v>12</v>
      </c>
      <c r="Y1" s="25" t="s">
        <v>31</v>
      </c>
      <c r="Z1" s="34" t="s">
        <v>32</v>
      </c>
    </row>
    <row r="2" spans="1:35" ht="45" customHeight="1" x14ac:dyDescent="0.2">
      <c r="A2" s="9" t="s">
        <v>0</v>
      </c>
      <c r="B2" s="21">
        <v>28</v>
      </c>
      <c r="C2" s="7">
        <v>60</v>
      </c>
      <c r="D2" s="7">
        <v>45</v>
      </c>
      <c r="E2" s="7">
        <v>45</v>
      </c>
      <c r="F2" s="7">
        <v>60</v>
      </c>
      <c r="G2" s="7">
        <v>60</v>
      </c>
      <c r="H2" s="7">
        <v>75</v>
      </c>
      <c r="I2" s="7">
        <v>60</v>
      </c>
      <c r="J2" s="7">
        <v>75</v>
      </c>
      <c r="K2" s="7">
        <v>75</v>
      </c>
      <c r="L2" s="7">
        <v>75</v>
      </c>
      <c r="M2" s="7">
        <v>75</v>
      </c>
      <c r="N2" s="7">
        <v>135</v>
      </c>
      <c r="O2" s="7">
        <v>105</v>
      </c>
      <c r="P2" s="7">
        <v>105</v>
      </c>
      <c r="Q2" s="7">
        <v>90</v>
      </c>
      <c r="R2" s="7">
        <v>60</v>
      </c>
      <c r="S2" s="7">
        <v>60</v>
      </c>
      <c r="T2" s="7">
        <v>75</v>
      </c>
      <c r="U2" s="7">
        <v>75</v>
      </c>
      <c r="V2" s="7">
        <v>150</v>
      </c>
      <c r="W2" s="7">
        <v>60</v>
      </c>
      <c r="X2" s="7">
        <v>45</v>
      </c>
      <c r="Y2" s="7">
        <v>75</v>
      </c>
      <c r="Z2" s="5">
        <v>75</v>
      </c>
    </row>
    <row r="3" spans="1:35" ht="45" customHeight="1" x14ac:dyDescent="0.2">
      <c r="A3" s="9" t="s">
        <v>1</v>
      </c>
      <c r="B3" s="8">
        <v>60</v>
      </c>
      <c r="C3" s="6">
        <v>28</v>
      </c>
      <c r="D3" s="7">
        <v>60</v>
      </c>
      <c r="E3" s="7">
        <v>60</v>
      </c>
      <c r="F3" s="7">
        <v>75</v>
      </c>
      <c r="G3" s="7">
        <v>75</v>
      </c>
      <c r="H3" s="7">
        <v>90</v>
      </c>
      <c r="I3" s="7">
        <v>75</v>
      </c>
      <c r="J3" s="7">
        <v>75</v>
      </c>
      <c r="K3" s="7">
        <v>90</v>
      </c>
      <c r="L3" s="7">
        <v>90</v>
      </c>
      <c r="M3" s="7">
        <v>75</v>
      </c>
      <c r="N3" s="7">
        <v>150</v>
      </c>
      <c r="O3" s="7">
        <v>120</v>
      </c>
      <c r="P3" s="7">
        <v>120</v>
      </c>
      <c r="Q3" s="7">
        <v>90</v>
      </c>
      <c r="R3" s="7">
        <v>75</v>
      </c>
      <c r="S3" s="7">
        <v>75</v>
      </c>
      <c r="T3" s="7">
        <v>105</v>
      </c>
      <c r="U3" s="7">
        <v>105</v>
      </c>
      <c r="V3" s="7">
        <v>150</v>
      </c>
      <c r="W3" s="7">
        <v>60</v>
      </c>
      <c r="X3" s="7">
        <v>75</v>
      </c>
      <c r="Y3" s="7">
        <v>90</v>
      </c>
      <c r="Z3" s="5">
        <v>90</v>
      </c>
    </row>
    <row r="4" spans="1:35" s="2" customFormat="1" ht="45" customHeight="1" x14ac:dyDescent="0.2">
      <c r="A4" s="9" t="s">
        <v>23</v>
      </c>
      <c r="B4" s="8">
        <v>60</v>
      </c>
      <c r="C4" s="7">
        <v>60</v>
      </c>
      <c r="D4" s="6">
        <v>28</v>
      </c>
      <c r="E4" s="7">
        <v>45</v>
      </c>
      <c r="F4" s="7">
        <v>60</v>
      </c>
      <c r="G4" s="7">
        <v>60</v>
      </c>
      <c r="H4" s="7">
        <v>75</v>
      </c>
      <c r="I4" s="7">
        <v>60</v>
      </c>
      <c r="J4" s="7">
        <v>75</v>
      </c>
      <c r="K4" s="7">
        <v>75</v>
      </c>
      <c r="L4" s="7">
        <v>75</v>
      </c>
      <c r="M4" s="7">
        <v>75</v>
      </c>
      <c r="N4" s="7">
        <v>135</v>
      </c>
      <c r="O4" s="7">
        <v>105</v>
      </c>
      <c r="P4" s="7">
        <v>105</v>
      </c>
      <c r="Q4" s="7">
        <v>90</v>
      </c>
      <c r="R4" s="7">
        <v>60</v>
      </c>
      <c r="S4" s="7">
        <v>60</v>
      </c>
      <c r="T4" s="7">
        <v>75</v>
      </c>
      <c r="U4" s="7">
        <v>75</v>
      </c>
      <c r="V4" s="7">
        <v>150</v>
      </c>
      <c r="W4" s="7">
        <v>60</v>
      </c>
      <c r="X4" s="7">
        <v>75</v>
      </c>
      <c r="Y4" s="7">
        <v>90</v>
      </c>
      <c r="Z4" s="5">
        <v>90</v>
      </c>
      <c r="AA4"/>
      <c r="AB4"/>
      <c r="AC4"/>
      <c r="AD4"/>
      <c r="AE4"/>
      <c r="AF4"/>
      <c r="AG4"/>
      <c r="AH4"/>
      <c r="AI4"/>
    </row>
    <row r="5" spans="1:35" ht="45" customHeight="1" x14ac:dyDescent="0.2">
      <c r="A5" s="9" t="s">
        <v>5</v>
      </c>
      <c r="B5" s="8">
        <v>60</v>
      </c>
      <c r="C5" s="7">
        <v>60</v>
      </c>
      <c r="D5" s="7">
        <v>45</v>
      </c>
      <c r="E5" s="6">
        <v>28</v>
      </c>
      <c r="F5" s="7">
        <v>75</v>
      </c>
      <c r="G5" s="7">
        <v>60</v>
      </c>
      <c r="H5" s="7">
        <v>75</v>
      </c>
      <c r="I5" s="7">
        <v>75</v>
      </c>
      <c r="J5" s="7">
        <v>90</v>
      </c>
      <c r="K5" s="7">
        <v>90</v>
      </c>
      <c r="L5" s="7">
        <v>90</v>
      </c>
      <c r="M5" s="7">
        <v>90</v>
      </c>
      <c r="N5" s="7">
        <v>150</v>
      </c>
      <c r="O5" s="7">
        <v>120</v>
      </c>
      <c r="P5" s="7">
        <v>120</v>
      </c>
      <c r="Q5" s="7">
        <v>105</v>
      </c>
      <c r="R5" s="7">
        <v>75</v>
      </c>
      <c r="S5" s="7">
        <v>75</v>
      </c>
      <c r="T5" s="7">
        <v>75</v>
      </c>
      <c r="U5" s="7">
        <v>75</v>
      </c>
      <c r="V5" s="7">
        <v>150</v>
      </c>
      <c r="W5" s="7">
        <v>150</v>
      </c>
      <c r="X5" s="7">
        <v>75</v>
      </c>
      <c r="Y5" s="7">
        <v>75</v>
      </c>
      <c r="Z5" s="5">
        <v>75</v>
      </c>
    </row>
    <row r="6" spans="1:35" ht="45" customHeight="1" x14ac:dyDescent="0.2">
      <c r="A6" s="9" t="s">
        <v>3</v>
      </c>
      <c r="B6" s="8">
        <v>60</v>
      </c>
      <c r="C6" s="7">
        <v>60</v>
      </c>
      <c r="D6" s="7">
        <v>60</v>
      </c>
      <c r="E6" s="7">
        <v>60</v>
      </c>
      <c r="F6" s="6">
        <v>28</v>
      </c>
      <c r="G6" s="7">
        <v>60</v>
      </c>
      <c r="H6" s="7">
        <v>75</v>
      </c>
      <c r="I6" s="7">
        <v>45</v>
      </c>
      <c r="J6" s="7">
        <v>75</v>
      </c>
      <c r="K6" s="7">
        <v>75</v>
      </c>
      <c r="L6" s="7">
        <v>75</v>
      </c>
      <c r="M6" s="7">
        <v>75</v>
      </c>
      <c r="N6" s="7">
        <v>135</v>
      </c>
      <c r="O6" s="7">
        <v>105</v>
      </c>
      <c r="P6" s="7">
        <v>105</v>
      </c>
      <c r="Q6" s="7">
        <v>90</v>
      </c>
      <c r="R6" s="7">
        <v>45</v>
      </c>
      <c r="S6" s="7">
        <v>45</v>
      </c>
      <c r="T6" s="7">
        <v>60</v>
      </c>
      <c r="U6" s="7">
        <v>60</v>
      </c>
      <c r="V6" s="7">
        <v>150</v>
      </c>
      <c r="W6" s="7">
        <v>60</v>
      </c>
      <c r="X6" s="7">
        <v>90</v>
      </c>
      <c r="Y6" s="7">
        <v>90</v>
      </c>
      <c r="Z6" s="5">
        <v>90</v>
      </c>
    </row>
    <row r="7" spans="1:35" ht="45" customHeight="1" x14ac:dyDescent="0.2">
      <c r="A7" s="9" t="s">
        <v>2</v>
      </c>
      <c r="B7" s="8">
        <v>60</v>
      </c>
      <c r="C7" s="7">
        <v>60</v>
      </c>
      <c r="D7" s="7">
        <v>60</v>
      </c>
      <c r="E7" s="7">
        <v>60</v>
      </c>
      <c r="F7" s="7">
        <v>60</v>
      </c>
      <c r="G7" s="6">
        <v>28</v>
      </c>
      <c r="H7" s="7">
        <v>60</v>
      </c>
      <c r="I7" s="7">
        <v>60</v>
      </c>
      <c r="J7" s="7">
        <v>60</v>
      </c>
      <c r="K7" s="7">
        <v>60</v>
      </c>
      <c r="L7" s="7">
        <v>60</v>
      </c>
      <c r="M7" s="7">
        <v>60</v>
      </c>
      <c r="N7" s="7">
        <v>120</v>
      </c>
      <c r="O7" s="7">
        <v>90</v>
      </c>
      <c r="P7" s="7">
        <v>90</v>
      </c>
      <c r="Q7" s="7">
        <v>75</v>
      </c>
      <c r="R7" s="7">
        <v>60</v>
      </c>
      <c r="S7" s="7">
        <v>60</v>
      </c>
      <c r="T7" s="7">
        <v>75</v>
      </c>
      <c r="U7" s="7">
        <v>75</v>
      </c>
      <c r="V7" s="7">
        <v>150</v>
      </c>
      <c r="W7" s="7">
        <v>75</v>
      </c>
      <c r="X7" s="7">
        <v>90</v>
      </c>
      <c r="Y7" s="7">
        <v>60</v>
      </c>
      <c r="Z7" s="5">
        <v>60</v>
      </c>
    </row>
    <row r="8" spans="1:35" ht="45" customHeight="1" x14ac:dyDescent="0.2">
      <c r="A8" s="9" t="s">
        <v>8</v>
      </c>
      <c r="B8" s="8">
        <v>60</v>
      </c>
      <c r="C8" s="7">
        <v>75</v>
      </c>
      <c r="D8" s="7">
        <v>60</v>
      </c>
      <c r="E8" s="7">
        <v>90</v>
      </c>
      <c r="F8" s="7">
        <v>60</v>
      </c>
      <c r="G8" s="7">
        <v>45</v>
      </c>
      <c r="H8" s="6">
        <v>28</v>
      </c>
      <c r="I8" s="7">
        <v>60</v>
      </c>
      <c r="J8" s="7">
        <v>60</v>
      </c>
      <c r="K8" s="7">
        <v>60</v>
      </c>
      <c r="L8" s="7">
        <v>60</v>
      </c>
      <c r="M8" s="7">
        <v>45</v>
      </c>
      <c r="N8" s="7">
        <v>120</v>
      </c>
      <c r="O8" s="7">
        <v>90</v>
      </c>
      <c r="P8" s="7">
        <v>90</v>
      </c>
      <c r="Q8" s="7">
        <v>75</v>
      </c>
      <c r="R8" s="7">
        <v>75</v>
      </c>
      <c r="S8" s="7">
        <v>60</v>
      </c>
      <c r="T8" s="7">
        <v>75</v>
      </c>
      <c r="U8" s="37">
        <v>75</v>
      </c>
      <c r="V8" s="7">
        <v>150</v>
      </c>
      <c r="W8" s="7">
        <v>75</v>
      </c>
      <c r="X8" s="7">
        <v>90</v>
      </c>
      <c r="Y8" s="7">
        <v>75</v>
      </c>
      <c r="Z8" s="5">
        <v>75</v>
      </c>
    </row>
    <row r="9" spans="1:35" ht="45" customHeight="1" x14ac:dyDescent="0.2">
      <c r="A9" s="9" t="s">
        <v>9</v>
      </c>
      <c r="B9" s="8">
        <v>75</v>
      </c>
      <c r="C9" s="7">
        <v>75</v>
      </c>
      <c r="D9" s="7">
        <v>75</v>
      </c>
      <c r="E9" s="7">
        <v>90</v>
      </c>
      <c r="F9" s="7">
        <v>60</v>
      </c>
      <c r="G9" s="7">
        <v>60</v>
      </c>
      <c r="H9" s="7">
        <v>60</v>
      </c>
      <c r="I9" s="6">
        <v>28</v>
      </c>
      <c r="J9" s="7">
        <v>75</v>
      </c>
      <c r="K9" s="7">
        <v>75</v>
      </c>
      <c r="L9" s="7">
        <v>75</v>
      </c>
      <c r="M9" s="7">
        <v>75</v>
      </c>
      <c r="N9" s="7">
        <v>120</v>
      </c>
      <c r="O9" s="7">
        <v>105</v>
      </c>
      <c r="P9" s="7">
        <v>105</v>
      </c>
      <c r="Q9" s="7">
        <v>90</v>
      </c>
      <c r="R9" s="7">
        <v>60</v>
      </c>
      <c r="S9" s="7">
        <v>75</v>
      </c>
      <c r="T9" s="7">
        <v>75</v>
      </c>
      <c r="U9" s="7">
        <v>75</v>
      </c>
      <c r="V9" s="7">
        <v>150</v>
      </c>
      <c r="W9" s="7">
        <v>75</v>
      </c>
      <c r="X9" s="7">
        <v>90</v>
      </c>
      <c r="Y9" s="7">
        <v>90</v>
      </c>
      <c r="Z9" s="5">
        <v>90</v>
      </c>
    </row>
    <row r="10" spans="1:35" ht="45" customHeight="1" x14ac:dyDescent="0.2">
      <c r="A10" s="9" t="s">
        <v>18</v>
      </c>
      <c r="B10" s="8">
        <v>75</v>
      </c>
      <c r="C10" s="7">
        <v>75</v>
      </c>
      <c r="D10" s="7">
        <v>75</v>
      </c>
      <c r="E10" s="7">
        <v>90</v>
      </c>
      <c r="F10" s="7">
        <v>60</v>
      </c>
      <c r="G10" s="7">
        <v>60</v>
      </c>
      <c r="H10" s="7">
        <v>60</v>
      </c>
      <c r="I10" s="7">
        <v>60</v>
      </c>
      <c r="J10" s="6">
        <v>28</v>
      </c>
      <c r="K10" s="7">
        <v>60</v>
      </c>
      <c r="L10" s="7">
        <v>75</v>
      </c>
      <c r="M10" s="7">
        <v>45</v>
      </c>
      <c r="N10" s="7">
        <v>105</v>
      </c>
      <c r="O10" s="7">
        <v>75</v>
      </c>
      <c r="P10" s="7">
        <v>75</v>
      </c>
      <c r="Q10" s="7">
        <v>75</v>
      </c>
      <c r="R10" s="7">
        <v>75</v>
      </c>
      <c r="S10" s="7">
        <v>75</v>
      </c>
      <c r="T10" s="7">
        <v>90</v>
      </c>
      <c r="U10" s="7">
        <v>90</v>
      </c>
      <c r="V10" s="7">
        <v>150</v>
      </c>
      <c r="W10" s="7">
        <v>90</v>
      </c>
      <c r="X10" s="7">
        <v>105</v>
      </c>
      <c r="Y10" s="7">
        <v>60</v>
      </c>
      <c r="Z10" s="5">
        <v>60</v>
      </c>
    </row>
    <row r="11" spans="1:35" ht="45" customHeight="1" x14ac:dyDescent="0.2">
      <c r="A11" s="9" t="s">
        <v>24</v>
      </c>
      <c r="B11" s="8">
        <v>75</v>
      </c>
      <c r="C11" s="7">
        <v>90</v>
      </c>
      <c r="D11" s="7">
        <v>75</v>
      </c>
      <c r="E11" s="7">
        <v>105</v>
      </c>
      <c r="F11" s="7">
        <v>75</v>
      </c>
      <c r="G11" s="7">
        <v>75</v>
      </c>
      <c r="H11" s="7">
        <v>75</v>
      </c>
      <c r="I11" s="7">
        <v>75</v>
      </c>
      <c r="J11" s="7">
        <v>60</v>
      </c>
      <c r="K11" s="6">
        <v>28</v>
      </c>
      <c r="L11" s="7">
        <v>60</v>
      </c>
      <c r="M11" s="7">
        <v>60</v>
      </c>
      <c r="N11" s="7">
        <v>60</v>
      </c>
      <c r="O11" s="7">
        <v>75</v>
      </c>
      <c r="P11" s="7">
        <v>60</v>
      </c>
      <c r="Q11" s="7">
        <v>45</v>
      </c>
      <c r="R11" s="7">
        <v>75</v>
      </c>
      <c r="S11" s="7">
        <v>75</v>
      </c>
      <c r="T11" s="7">
        <v>90</v>
      </c>
      <c r="U11" s="7">
        <v>90</v>
      </c>
      <c r="V11" s="7">
        <v>150</v>
      </c>
      <c r="W11" s="7">
        <v>105</v>
      </c>
      <c r="X11" s="7">
        <v>90</v>
      </c>
      <c r="Y11" s="7">
        <v>45</v>
      </c>
      <c r="Z11" s="5">
        <v>45</v>
      </c>
    </row>
    <row r="12" spans="1:35" ht="45" customHeight="1" x14ac:dyDescent="0.2">
      <c r="A12" s="9" t="s">
        <v>19</v>
      </c>
      <c r="B12" s="8">
        <v>75</v>
      </c>
      <c r="C12" s="7">
        <v>90</v>
      </c>
      <c r="D12" s="7">
        <v>75</v>
      </c>
      <c r="E12" s="7">
        <v>105</v>
      </c>
      <c r="F12" s="7">
        <v>75</v>
      </c>
      <c r="G12" s="7">
        <v>75</v>
      </c>
      <c r="H12" s="7">
        <v>75</v>
      </c>
      <c r="I12" s="7">
        <v>75</v>
      </c>
      <c r="J12" s="7">
        <v>60</v>
      </c>
      <c r="K12" s="7">
        <v>45</v>
      </c>
      <c r="L12" s="6">
        <v>28</v>
      </c>
      <c r="M12" s="7">
        <v>45</v>
      </c>
      <c r="N12" s="7">
        <v>90</v>
      </c>
      <c r="O12" s="7">
        <v>75</v>
      </c>
      <c r="P12" s="7">
        <v>75</v>
      </c>
      <c r="Q12" s="7">
        <v>60</v>
      </c>
      <c r="R12" s="7">
        <v>75</v>
      </c>
      <c r="S12" s="7">
        <v>75</v>
      </c>
      <c r="T12" s="7">
        <v>105</v>
      </c>
      <c r="U12" s="7">
        <v>105</v>
      </c>
      <c r="V12" s="7">
        <v>150</v>
      </c>
      <c r="W12" s="7">
        <v>105</v>
      </c>
      <c r="X12" s="7">
        <v>90</v>
      </c>
      <c r="Y12" s="7">
        <v>45</v>
      </c>
      <c r="Z12" s="5">
        <v>45</v>
      </c>
    </row>
    <row r="13" spans="1:35" ht="45" customHeight="1" x14ac:dyDescent="0.2">
      <c r="A13" s="9" t="s">
        <v>4</v>
      </c>
      <c r="B13" s="8">
        <v>75</v>
      </c>
      <c r="C13" s="7">
        <v>75</v>
      </c>
      <c r="D13" s="7">
        <v>75</v>
      </c>
      <c r="E13" s="7">
        <v>90</v>
      </c>
      <c r="F13" s="7">
        <v>60</v>
      </c>
      <c r="G13" s="7">
        <v>45</v>
      </c>
      <c r="H13" s="7">
        <v>60</v>
      </c>
      <c r="I13" s="7">
        <v>60</v>
      </c>
      <c r="J13" s="7">
        <v>60</v>
      </c>
      <c r="K13" s="7">
        <v>45</v>
      </c>
      <c r="L13" s="7">
        <v>60</v>
      </c>
      <c r="M13" s="6">
        <v>28</v>
      </c>
      <c r="N13" s="7">
        <v>105</v>
      </c>
      <c r="O13" s="7">
        <v>75</v>
      </c>
      <c r="P13" s="7">
        <v>75</v>
      </c>
      <c r="Q13" s="7">
        <v>60</v>
      </c>
      <c r="R13" s="7">
        <v>75</v>
      </c>
      <c r="S13" s="7">
        <v>75</v>
      </c>
      <c r="T13" s="7">
        <v>90</v>
      </c>
      <c r="U13" s="7">
        <v>90</v>
      </c>
      <c r="V13" s="7">
        <v>150</v>
      </c>
      <c r="W13" s="7">
        <v>90</v>
      </c>
      <c r="X13" s="7">
        <v>90</v>
      </c>
      <c r="Y13" s="7">
        <v>60</v>
      </c>
      <c r="Z13" s="5">
        <v>60</v>
      </c>
    </row>
    <row r="14" spans="1:35" ht="45" customHeight="1" x14ac:dyDescent="0.2">
      <c r="A14" s="9" t="s">
        <v>7</v>
      </c>
      <c r="B14" s="8">
        <v>135</v>
      </c>
      <c r="C14" s="7">
        <v>150</v>
      </c>
      <c r="D14" s="7">
        <v>135</v>
      </c>
      <c r="E14" s="7">
        <v>150</v>
      </c>
      <c r="F14" s="7">
        <v>135</v>
      </c>
      <c r="G14" s="7">
        <v>120</v>
      </c>
      <c r="H14" s="7">
        <v>120</v>
      </c>
      <c r="I14" s="7">
        <v>120</v>
      </c>
      <c r="J14" s="7">
        <v>90</v>
      </c>
      <c r="K14" s="7">
        <v>90</v>
      </c>
      <c r="L14" s="7">
        <v>90</v>
      </c>
      <c r="M14" s="7">
        <v>90</v>
      </c>
      <c r="N14" s="6">
        <v>28</v>
      </c>
      <c r="O14" s="7">
        <v>60</v>
      </c>
      <c r="P14" s="7">
        <v>75</v>
      </c>
      <c r="Q14" s="7">
        <v>90</v>
      </c>
      <c r="R14" s="7">
        <v>135</v>
      </c>
      <c r="S14" s="7">
        <v>135</v>
      </c>
      <c r="T14" s="7">
        <v>135</v>
      </c>
      <c r="U14" s="7">
        <v>135</v>
      </c>
      <c r="V14" s="7">
        <v>45</v>
      </c>
      <c r="W14" s="7">
        <v>150</v>
      </c>
      <c r="X14" s="7">
        <v>150</v>
      </c>
      <c r="Y14" s="7">
        <v>120</v>
      </c>
      <c r="Z14" s="5">
        <v>120</v>
      </c>
    </row>
    <row r="15" spans="1:35" ht="45" customHeight="1" x14ac:dyDescent="0.2">
      <c r="A15" s="9" t="s">
        <v>21</v>
      </c>
      <c r="B15" s="8">
        <v>105</v>
      </c>
      <c r="C15" s="7">
        <v>120</v>
      </c>
      <c r="D15" s="7">
        <v>105</v>
      </c>
      <c r="E15" s="7">
        <v>120</v>
      </c>
      <c r="F15" s="7">
        <v>105</v>
      </c>
      <c r="G15" s="7">
        <v>90</v>
      </c>
      <c r="H15" s="7">
        <v>105</v>
      </c>
      <c r="I15" s="7">
        <v>105</v>
      </c>
      <c r="J15" s="7">
        <v>75</v>
      </c>
      <c r="K15" s="7">
        <v>75</v>
      </c>
      <c r="L15" s="7">
        <v>75</v>
      </c>
      <c r="M15" s="7">
        <v>75</v>
      </c>
      <c r="N15" s="7">
        <v>45</v>
      </c>
      <c r="O15" s="6">
        <v>28</v>
      </c>
      <c r="P15" s="7">
        <v>60</v>
      </c>
      <c r="Q15" s="7">
        <v>60</v>
      </c>
      <c r="R15" s="7">
        <v>120</v>
      </c>
      <c r="S15" s="7">
        <v>120</v>
      </c>
      <c r="T15" s="7">
        <v>105</v>
      </c>
      <c r="U15" s="7">
        <v>105</v>
      </c>
      <c r="V15" s="7">
        <v>60</v>
      </c>
      <c r="W15" s="7">
        <v>135</v>
      </c>
      <c r="X15" s="7">
        <v>120</v>
      </c>
      <c r="Y15" s="7">
        <v>75</v>
      </c>
      <c r="Z15" s="5">
        <v>75</v>
      </c>
    </row>
    <row r="16" spans="1:35" ht="45" customHeight="1" x14ac:dyDescent="0.2">
      <c r="A16" s="20" t="s">
        <v>20</v>
      </c>
      <c r="B16" s="7">
        <v>105</v>
      </c>
      <c r="C16" s="7">
        <v>120</v>
      </c>
      <c r="D16" s="7">
        <v>105</v>
      </c>
      <c r="E16" s="7">
        <v>120</v>
      </c>
      <c r="F16" s="7">
        <v>105</v>
      </c>
      <c r="G16" s="7">
        <v>90</v>
      </c>
      <c r="H16" s="7">
        <v>105</v>
      </c>
      <c r="I16" s="7">
        <v>105</v>
      </c>
      <c r="J16" s="7">
        <v>75</v>
      </c>
      <c r="K16" s="7">
        <v>75</v>
      </c>
      <c r="L16" s="7">
        <v>75</v>
      </c>
      <c r="M16" s="7">
        <v>75</v>
      </c>
      <c r="N16" s="7">
        <v>45</v>
      </c>
      <c r="O16" s="7">
        <v>45</v>
      </c>
      <c r="P16" s="6">
        <v>28</v>
      </c>
      <c r="Q16" s="7">
        <v>60</v>
      </c>
      <c r="R16" s="7">
        <v>120</v>
      </c>
      <c r="S16" s="7">
        <v>120</v>
      </c>
      <c r="T16" s="7">
        <v>105</v>
      </c>
      <c r="U16" s="7">
        <v>105</v>
      </c>
      <c r="V16" s="7">
        <v>45</v>
      </c>
      <c r="W16" s="7">
        <v>135</v>
      </c>
      <c r="X16" s="7">
        <v>120</v>
      </c>
      <c r="Y16" s="7">
        <v>75</v>
      </c>
      <c r="Z16" s="5">
        <v>75</v>
      </c>
    </row>
    <row r="17" spans="1:26" ht="45" customHeight="1" x14ac:dyDescent="0.2">
      <c r="A17" s="20" t="s">
        <v>10</v>
      </c>
      <c r="B17" s="7">
        <v>90</v>
      </c>
      <c r="C17" s="7">
        <v>90</v>
      </c>
      <c r="D17" s="7">
        <v>90</v>
      </c>
      <c r="E17" s="7">
        <v>120</v>
      </c>
      <c r="F17" s="7">
        <v>90</v>
      </c>
      <c r="G17" s="7">
        <v>90</v>
      </c>
      <c r="H17" s="7">
        <v>90</v>
      </c>
      <c r="I17" s="7">
        <v>90</v>
      </c>
      <c r="J17" s="7">
        <v>75</v>
      </c>
      <c r="K17" s="7">
        <v>45</v>
      </c>
      <c r="L17" s="7">
        <v>60</v>
      </c>
      <c r="M17" s="7">
        <v>75</v>
      </c>
      <c r="N17" s="7">
        <v>75</v>
      </c>
      <c r="O17" s="7">
        <v>60</v>
      </c>
      <c r="P17" s="7">
        <v>60</v>
      </c>
      <c r="Q17" s="6">
        <v>28</v>
      </c>
      <c r="R17" s="7">
        <v>90</v>
      </c>
      <c r="S17" s="7">
        <v>90</v>
      </c>
      <c r="T17" s="7">
        <v>105</v>
      </c>
      <c r="U17" s="7">
        <v>105</v>
      </c>
      <c r="V17" s="7">
        <v>150</v>
      </c>
      <c r="W17" s="7">
        <v>120</v>
      </c>
      <c r="X17" s="7">
        <v>90</v>
      </c>
      <c r="Y17" s="7">
        <v>45</v>
      </c>
      <c r="Z17" s="5">
        <v>45</v>
      </c>
    </row>
    <row r="18" spans="1:26" ht="45" customHeight="1" x14ac:dyDescent="0.2">
      <c r="A18" s="20" t="s">
        <v>22</v>
      </c>
      <c r="B18" s="7">
        <v>75</v>
      </c>
      <c r="C18" s="7">
        <v>75</v>
      </c>
      <c r="D18" s="7">
        <v>75</v>
      </c>
      <c r="E18" s="7">
        <v>90</v>
      </c>
      <c r="F18" s="7">
        <v>45</v>
      </c>
      <c r="G18" s="7">
        <v>75</v>
      </c>
      <c r="H18" s="7">
        <v>90</v>
      </c>
      <c r="I18" s="7">
        <v>60</v>
      </c>
      <c r="J18" s="7">
        <v>75</v>
      </c>
      <c r="K18" s="7">
        <v>75</v>
      </c>
      <c r="L18" s="7">
        <v>75</v>
      </c>
      <c r="M18" s="7">
        <v>75</v>
      </c>
      <c r="N18" s="7">
        <v>135</v>
      </c>
      <c r="O18" s="7">
        <v>120</v>
      </c>
      <c r="P18" s="7">
        <v>120</v>
      </c>
      <c r="Q18" s="7">
        <v>90</v>
      </c>
      <c r="R18" s="6">
        <v>28</v>
      </c>
      <c r="S18" s="7">
        <v>45</v>
      </c>
      <c r="T18" s="7">
        <v>60</v>
      </c>
      <c r="U18" s="7">
        <v>45</v>
      </c>
      <c r="V18" s="7">
        <v>150</v>
      </c>
      <c r="W18" s="7">
        <v>75</v>
      </c>
      <c r="X18" s="7">
        <v>90</v>
      </c>
      <c r="Y18" s="7">
        <v>105</v>
      </c>
      <c r="Z18" s="5">
        <v>105</v>
      </c>
    </row>
    <row r="19" spans="1:26" ht="45" customHeight="1" x14ac:dyDescent="0.2">
      <c r="A19" s="20" t="s">
        <v>29</v>
      </c>
      <c r="B19" s="7">
        <v>75</v>
      </c>
      <c r="C19" s="7">
        <v>75</v>
      </c>
      <c r="D19" s="7">
        <v>75</v>
      </c>
      <c r="E19" s="7">
        <v>90</v>
      </c>
      <c r="F19" s="7">
        <v>60</v>
      </c>
      <c r="G19" s="7">
        <v>75</v>
      </c>
      <c r="H19" s="7">
        <v>90</v>
      </c>
      <c r="I19" s="7">
        <v>60</v>
      </c>
      <c r="J19" s="7">
        <v>75</v>
      </c>
      <c r="K19" s="7">
        <v>75</v>
      </c>
      <c r="L19" s="7">
        <v>75</v>
      </c>
      <c r="M19" s="7">
        <v>75</v>
      </c>
      <c r="N19" s="7">
        <v>135</v>
      </c>
      <c r="O19" s="7">
        <v>120</v>
      </c>
      <c r="P19" s="7">
        <v>120</v>
      </c>
      <c r="Q19" s="7">
        <v>90</v>
      </c>
      <c r="R19" s="7">
        <v>45</v>
      </c>
      <c r="S19" s="6">
        <v>28</v>
      </c>
      <c r="T19" s="7">
        <v>60</v>
      </c>
      <c r="U19" s="7">
        <v>60</v>
      </c>
      <c r="V19" s="7">
        <v>150</v>
      </c>
      <c r="W19" s="7">
        <v>75</v>
      </c>
      <c r="X19" s="7">
        <v>90</v>
      </c>
      <c r="Y19" s="7">
        <v>90</v>
      </c>
      <c r="Z19" s="5">
        <v>90</v>
      </c>
    </row>
    <row r="20" spans="1:26" ht="45" customHeight="1" x14ac:dyDescent="0.2">
      <c r="A20" s="20" t="s">
        <v>30</v>
      </c>
      <c r="B20" s="29">
        <v>75</v>
      </c>
      <c r="C20" s="29">
        <v>75</v>
      </c>
      <c r="D20" s="29">
        <v>75</v>
      </c>
      <c r="E20" s="29">
        <v>75</v>
      </c>
      <c r="F20" s="29">
        <v>60</v>
      </c>
      <c r="G20" s="29">
        <v>90</v>
      </c>
      <c r="H20" s="29">
        <v>105</v>
      </c>
      <c r="I20" s="29">
        <v>105</v>
      </c>
      <c r="J20" s="29">
        <v>90</v>
      </c>
      <c r="K20" s="29">
        <v>90</v>
      </c>
      <c r="L20" s="29">
        <v>90</v>
      </c>
      <c r="M20" s="29">
        <v>90</v>
      </c>
      <c r="N20" s="29">
        <v>135</v>
      </c>
      <c r="O20" s="29">
        <v>120</v>
      </c>
      <c r="P20" s="29">
        <v>90</v>
      </c>
      <c r="Q20" s="29">
        <v>90</v>
      </c>
      <c r="R20" s="30">
        <v>60</v>
      </c>
      <c r="S20" s="30">
        <v>60</v>
      </c>
      <c r="T20" s="33">
        <v>28</v>
      </c>
      <c r="U20" s="30">
        <v>45</v>
      </c>
      <c r="V20" s="29">
        <v>150</v>
      </c>
      <c r="W20" s="29">
        <v>90</v>
      </c>
      <c r="X20" s="29">
        <v>120</v>
      </c>
      <c r="Y20" s="29">
        <v>90</v>
      </c>
      <c r="Z20" s="31">
        <v>120</v>
      </c>
    </row>
    <row r="21" spans="1:26" ht="45" customHeight="1" x14ac:dyDescent="0.2">
      <c r="A21" s="20" t="s">
        <v>33</v>
      </c>
      <c r="B21" s="29">
        <v>75</v>
      </c>
      <c r="C21" s="29">
        <v>75</v>
      </c>
      <c r="D21" s="29">
        <v>75</v>
      </c>
      <c r="E21" s="29">
        <v>75</v>
      </c>
      <c r="F21" s="29">
        <v>60</v>
      </c>
      <c r="G21" s="29">
        <v>90</v>
      </c>
      <c r="H21" s="29">
        <v>105</v>
      </c>
      <c r="I21" s="29">
        <v>105</v>
      </c>
      <c r="J21" s="29">
        <v>90</v>
      </c>
      <c r="K21" s="29">
        <v>90</v>
      </c>
      <c r="L21" s="29">
        <v>90</v>
      </c>
      <c r="M21" s="29">
        <v>90</v>
      </c>
      <c r="N21" s="29">
        <v>135</v>
      </c>
      <c r="O21" s="29">
        <v>120</v>
      </c>
      <c r="P21" s="29">
        <v>90</v>
      </c>
      <c r="Q21" s="29">
        <v>90</v>
      </c>
      <c r="R21" s="30">
        <v>45</v>
      </c>
      <c r="S21" s="30">
        <v>45</v>
      </c>
      <c r="T21" s="30">
        <v>45</v>
      </c>
      <c r="U21" s="33">
        <v>28</v>
      </c>
      <c r="V21" s="29">
        <v>150</v>
      </c>
      <c r="W21" s="29">
        <v>90</v>
      </c>
      <c r="X21" s="29">
        <v>90</v>
      </c>
      <c r="Y21" s="29">
        <v>90</v>
      </c>
      <c r="Z21" s="31">
        <v>120</v>
      </c>
    </row>
    <row r="22" spans="1:26" ht="45" customHeight="1" x14ac:dyDescent="0.2">
      <c r="A22" s="20" t="s">
        <v>6</v>
      </c>
      <c r="B22" s="7">
        <v>150</v>
      </c>
      <c r="C22" s="7">
        <v>150</v>
      </c>
      <c r="D22" s="7">
        <v>150</v>
      </c>
      <c r="E22" s="7">
        <v>150</v>
      </c>
      <c r="F22" s="7">
        <v>150</v>
      </c>
      <c r="G22" s="7">
        <v>150</v>
      </c>
      <c r="H22" s="7">
        <v>150</v>
      </c>
      <c r="I22" s="7">
        <v>150</v>
      </c>
      <c r="J22" s="7">
        <v>150</v>
      </c>
      <c r="K22" s="7">
        <v>150</v>
      </c>
      <c r="L22" s="7">
        <v>150</v>
      </c>
      <c r="M22" s="7">
        <v>150</v>
      </c>
      <c r="N22" s="7">
        <v>120</v>
      </c>
      <c r="O22" s="7">
        <v>150</v>
      </c>
      <c r="P22" s="7">
        <v>150</v>
      </c>
      <c r="Q22" s="7">
        <v>150</v>
      </c>
      <c r="R22" s="7">
        <v>150</v>
      </c>
      <c r="S22" s="7">
        <v>150</v>
      </c>
      <c r="T22" s="7">
        <v>150</v>
      </c>
      <c r="U22" s="7">
        <v>150</v>
      </c>
      <c r="V22" s="6">
        <v>28</v>
      </c>
      <c r="W22" s="7">
        <v>150</v>
      </c>
      <c r="X22" s="7">
        <v>150</v>
      </c>
      <c r="Y22" s="7">
        <v>150</v>
      </c>
      <c r="Z22" s="5">
        <v>150</v>
      </c>
    </row>
    <row r="23" spans="1:26" ht="45" customHeight="1" x14ac:dyDescent="0.2">
      <c r="A23" s="20" t="s">
        <v>11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7" t="s">
        <v>17</v>
      </c>
      <c r="O23" s="7" t="s">
        <v>17</v>
      </c>
      <c r="P23" s="7" t="s">
        <v>17</v>
      </c>
      <c r="Q23" s="7" t="s">
        <v>17</v>
      </c>
      <c r="R23" s="7" t="s">
        <v>17</v>
      </c>
      <c r="S23" s="7" t="s">
        <v>17</v>
      </c>
      <c r="T23" s="7" t="s">
        <v>17</v>
      </c>
      <c r="U23" s="7" t="s">
        <v>17</v>
      </c>
      <c r="V23" s="7" t="s">
        <v>17</v>
      </c>
      <c r="W23" s="6">
        <v>28</v>
      </c>
      <c r="X23" s="7" t="s">
        <v>17</v>
      </c>
      <c r="Y23" s="7" t="s">
        <v>17</v>
      </c>
      <c r="Z23" s="5" t="s">
        <v>17</v>
      </c>
    </row>
    <row r="24" spans="1:26" ht="45" customHeight="1" x14ac:dyDescent="0.2">
      <c r="A24" s="20" t="s">
        <v>12</v>
      </c>
      <c r="B24" s="7">
        <v>60</v>
      </c>
      <c r="C24" s="7">
        <v>60</v>
      </c>
      <c r="D24" s="7">
        <v>60</v>
      </c>
      <c r="E24" s="7">
        <v>60</v>
      </c>
      <c r="F24" s="7">
        <v>60</v>
      </c>
      <c r="G24" s="7">
        <v>75</v>
      </c>
      <c r="H24" s="7">
        <v>90</v>
      </c>
      <c r="I24" s="7">
        <v>75</v>
      </c>
      <c r="J24" s="7">
        <v>105</v>
      </c>
      <c r="K24" s="7">
        <v>90</v>
      </c>
      <c r="L24" s="7">
        <v>90</v>
      </c>
      <c r="M24" s="7">
        <v>105</v>
      </c>
      <c r="N24" s="7">
        <v>150</v>
      </c>
      <c r="O24" s="7">
        <v>120</v>
      </c>
      <c r="P24" s="7">
        <v>120</v>
      </c>
      <c r="Q24" s="7">
        <v>90</v>
      </c>
      <c r="R24" s="7">
        <v>75</v>
      </c>
      <c r="S24" s="7">
        <v>75</v>
      </c>
      <c r="T24" s="7">
        <v>105</v>
      </c>
      <c r="U24" s="7">
        <v>105</v>
      </c>
      <c r="V24" s="7">
        <v>150</v>
      </c>
      <c r="W24" s="7">
        <v>60</v>
      </c>
      <c r="X24" s="6">
        <v>28</v>
      </c>
      <c r="Y24" s="7">
        <v>90</v>
      </c>
      <c r="Z24" s="5">
        <v>90</v>
      </c>
    </row>
    <row r="25" spans="1:26" ht="45" customHeight="1" x14ac:dyDescent="0.2">
      <c r="A25" s="20" t="s">
        <v>31</v>
      </c>
      <c r="B25" s="7">
        <v>90</v>
      </c>
      <c r="C25" s="7">
        <v>120</v>
      </c>
      <c r="D25" s="7">
        <v>90</v>
      </c>
      <c r="E25" s="7">
        <v>150</v>
      </c>
      <c r="F25" s="7">
        <v>90</v>
      </c>
      <c r="G25" s="7">
        <v>105</v>
      </c>
      <c r="H25" s="7">
        <v>105</v>
      </c>
      <c r="I25" s="7">
        <v>90</v>
      </c>
      <c r="J25" s="7">
        <v>105</v>
      </c>
      <c r="K25" s="7">
        <v>60</v>
      </c>
      <c r="L25" s="7">
        <v>60</v>
      </c>
      <c r="M25" s="7">
        <v>105</v>
      </c>
      <c r="N25" s="7">
        <v>105</v>
      </c>
      <c r="O25" s="7">
        <v>75</v>
      </c>
      <c r="P25" s="7">
        <v>75</v>
      </c>
      <c r="Q25" s="7">
        <v>75</v>
      </c>
      <c r="R25" s="7">
        <v>105</v>
      </c>
      <c r="S25" s="7">
        <v>105</v>
      </c>
      <c r="T25" s="7">
        <v>150</v>
      </c>
      <c r="U25" s="7">
        <v>150</v>
      </c>
      <c r="V25" s="7">
        <v>150</v>
      </c>
      <c r="W25" s="7">
        <v>120</v>
      </c>
      <c r="X25" s="7">
        <v>105</v>
      </c>
      <c r="Y25" s="6">
        <v>28</v>
      </c>
      <c r="Z25" s="32">
        <v>28</v>
      </c>
    </row>
    <row r="26" spans="1:26" ht="45" customHeight="1" x14ac:dyDescent="0.2">
      <c r="A26" s="35" t="s">
        <v>32</v>
      </c>
      <c r="B26" s="7">
        <v>90</v>
      </c>
      <c r="C26" s="7">
        <v>120</v>
      </c>
      <c r="D26" s="7">
        <v>90</v>
      </c>
      <c r="E26" s="7">
        <v>150</v>
      </c>
      <c r="F26" s="7">
        <v>90</v>
      </c>
      <c r="G26" s="7">
        <v>105</v>
      </c>
      <c r="H26" s="7">
        <v>105</v>
      </c>
      <c r="I26" s="7">
        <v>90</v>
      </c>
      <c r="J26" s="7">
        <v>105</v>
      </c>
      <c r="K26" s="7">
        <v>60</v>
      </c>
      <c r="L26" s="7">
        <v>60</v>
      </c>
      <c r="M26" s="7">
        <v>105</v>
      </c>
      <c r="N26" s="7">
        <v>105</v>
      </c>
      <c r="O26" s="7">
        <v>75</v>
      </c>
      <c r="P26" s="7">
        <v>75</v>
      </c>
      <c r="Q26" s="7">
        <v>75</v>
      </c>
      <c r="R26" s="7">
        <v>105</v>
      </c>
      <c r="S26" s="7">
        <v>105</v>
      </c>
      <c r="T26" s="7">
        <v>150</v>
      </c>
      <c r="U26" s="7">
        <v>150</v>
      </c>
      <c r="V26" s="7">
        <v>150</v>
      </c>
      <c r="W26" s="7">
        <v>120</v>
      </c>
      <c r="X26" s="7">
        <v>105</v>
      </c>
      <c r="Y26" s="6">
        <v>28</v>
      </c>
      <c r="Z26" s="32">
        <v>28</v>
      </c>
    </row>
    <row r="27" spans="1:26" ht="45" customHeight="1" x14ac:dyDescent="0.2">
      <c r="A27" s="28" t="s">
        <v>25</v>
      </c>
      <c r="B27" s="27">
        <f>COUNTIFS(B2:B26,45)</f>
        <v>0</v>
      </c>
      <c r="C27" s="27">
        <f t="shared" ref="C27:Z27" si="0">COUNTIFS(C2:C26,45)</f>
        <v>0</v>
      </c>
      <c r="D27" s="27">
        <f t="shared" si="0"/>
        <v>2</v>
      </c>
      <c r="E27" s="27">
        <f t="shared" si="0"/>
        <v>2</v>
      </c>
      <c r="F27" s="27">
        <f t="shared" si="0"/>
        <v>1</v>
      </c>
      <c r="G27" s="27">
        <f t="shared" si="0"/>
        <v>2</v>
      </c>
      <c r="H27" s="27">
        <f t="shared" si="0"/>
        <v>0</v>
      </c>
      <c r="I27" s="27">
        <f t="shared" si="0"/>
        <v>1</v>
      </c>
      <c r="J27" s="27">
        <f t="shared" si="0"/>
        <v>0</v>
      </c>
      <c r="K27" s="27">
        <f t="shared" si="0"/>
        <v>3</v>
      </c>
      <c r="L27" s="27">
        <f t="shared" si="0"/>
        <v>0</v>
      </c>
      <c r="M27" s="27">
        <f t="shared" si="0"/>
        <v>3</v>
      </c>
      <c r="N27" s="27">
        <f t="shared" si="0"/>
        <v>2</v>
      </c>
      <c r="O27" s="27">
        <f t="shared" si="0"/>
        <v>1</v>
      </c>
      <c r="P27" s="27">
        <f t="shared" si="0"/>
        <v>0</v>
      </c>
      <c r="Q27" s="27">
        <f t="shared" si="0"/>
        <v>1</v>
      </c>
      <c r="R27" s="27">
        <f t="shared" si="0"/>
        <v>3</v>
      </c>
      <c r="S27" s="27">
        <f t="shared" si="0"/>
        <v>3</v>
      </c>
      <c r="T27" s="27">
        <f t="shared" si="0"/>
        <v>1</v>
      </c>
      <c r="U27" s="27">
        <f t="shared" si="0"/>
        <v>2</v>
      </c>
      <c r="V27" s="27">
        <f t="shared" si="0"/>
        <v>2</v>
      </c>
      <c r="W27" s="27">
        <f t="shared" si="0"/>
        <v>0</v>
      </c>
      <c r="X27" s="27">
        <f t="shared" si="0"/>
        <v>1</v>
      </c>
      <c r="Y27" s="27">
        <f t="shared" si="0"/>
        <v>3</v>
      </c>
      <c r="Z27" s="38">
        <f t="shared" si="0"/>
        <v>3</v>
      </c>
    </row>
    <row r="28" spans="1:26" ht="45" customHeight="1" x14ac:dyDescent="0.2">
      <c r="A28" s="4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6" ht="31" customHeight="1" x14ac:dyDescent="0.3">
      <c r="A29" s="13" t="s">
        <v>14</v>
      </c>
      <c r="B29" s="14"/>
      <c r="C29" s="14"/>
      <c r="D29" s="14"/>
    </row>
    <row r="30" spans="1:26" ht="31" customHeight="1" x14ac:dyDescent="0.3">
      <c r="A30" s="15" t="s">
        <v>15</v>
      </c>
      <c r="B30" s="17"/>
      <c r="C30" s="14"/>
      <c r="D30" s="14"/>
    </row>
    <row r="31" spans="1:26" ht="31" customHeight="1" x14ac:dyDescent="0.4">
      <c r="A31" s="16"/>
      <c r="B31" s="16"/>
      <c r="C31" s="16"/>
      <c r="D31" s="16"/>
    </row>
    <row r="32" spans="1:26" s="18" customFormat="1" ht="99" customHeight="1" x14ac:dyDescent="0.2">
      <c r="A32" s="36" t="s">
        <v>16</v>
      </c>
      <c r="B32" s="36"/>
      <c r="C32" s="36"/>
      <c r="D32" s="36"/>
      <c r="E32" s="36"/>
      <c r="F32" s="36"/>
      <c r="G32" s="36"/>
    </row>
    <row r="33" spans="1:113" s="2" customFormat="1" ht="99" customHeight="1" x14ac:dyDescent="0.2">
      <c r="A33" s="36" t="s">
        <v>28</v>
      </c>
      <c r="B33" s="36"/>
      <c r="C33" s="36"/>
      <c r="D33" s="36"/>
      <c r="E33" s="36"/>
      <c r="F33" s="36"/>
      <c r="G33" s="36"/>
      <c r="H33" s="18"/>
      <c r="I33" s="18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</row>
    <row r="34" spans="1:113" s="2" customFormat="1" ht="201" customHeight="1" x14ac:dyDescent="0.2">
      <c r="A34" s="36" t="s">
        <v>26</v>
      </c>
      <c r="B34" s="36"/>
      <c r="C34" s="36"/>
      <c r="D34" s="36"/>
      <c r="E34" s="36"/>
      <c r="F34" s="36"/>
      <c r="G34" s="36"/>
      <c r="I34" s="18"/>
      <c r="L34" s="18"/>
      <c r="Q34" s="11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</row>
    <row r="35" spans="1:113" s="2" customFormat="1" ht="171" customHeight="1" x14ac:dyDescent="0.2">
      <c r="A35" s="36" t="s">
        <v>27</v>
      </c>
      <c r="B35" s="36"/>
      <c r="C35" s="36"/>
      <c r="D35" s="36"/>
      <c r="E35" s="36"/>
      <c r="F35" s="36"/>
      <c r="G35" s="36"/>
      <c r="H35" s="18"/>
      <c r="I35" s="18"/>
      <c r="J35" s="18"/>
      <c r="K35" s="18"/>
      <c r="L35" s="18"/>
      <c r="M35" s="18"/>
      <c r="N35" s="18"/>
      <c r="O35" s="18"/>
      <c r="P35" s="18"/>
      <c r="Q35" s="19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</row>
    <row r="36" spans="1:113" s="2" customFormat="1" ht="31" customHeight="1" x14ac:dyDescent="0.25">
      <c r="A36" s="10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 s="3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</row>
    <row r="37" spans="1:113" s="2" customFormat="1" ht="31" customHeight="1" x14ac:dyDescent="0.25">
      <c r="A37" s="10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s="3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</row>
    <row r="38" spans="1:113" s="1" customFormat="1" ht="31" customHeight="1" x14ac:dyDescent="0.25">
      <c r="A38" s="10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</row>
  </sheetData>
  <mergeCells count="4">
    <mergeCell ref="A32:G32"/>
    <mergeCell ref="A33:G33"/>
    <mergeCell ref="A34:G34"/>
    <mergeCell ref="A35:G35"/>
  </mergeCells>
  <conditionalFormatting sqref="B2:Z26">
    <cfRule type="cellIs" dxfId="2" priority="2" operator="between">
      <formula>45</formula>
      <formula>45</formula>
    </cfRule>
  </conditionalFormatting>
  <conditionalFormatting sqref="V20:X21">
    <cfRule type="cellIs" dxfId="1" priority="1" operator="between">
      <formula>45</formula>
      <formula>45</formula>
    </cfRule>
  </conditionalFormatting>
  <conditionalFormatting sqref="Y25:Z26">
    <cfRule type="cellIs" dxfId="0" priority="3" operator="between">
      <formula>45</formula>
      <formula>45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Нормативное время доставки</vt:lpstr>
    </vt:vector>
  </TitlesOfParts>
  <Company>OZON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Semin Nikita Yuryevich</dc:creator>
  <cp:lastModifiedBy>andmironov</cp:lastModifiedBy>
  <dcterms:created xsi:type="dcterms:W3CDTF">2025-07-29T10:24:43Z</dcterms:created>
  <dcterms:modified xsi:type="dcterms:W3CDTF">2025-12-23T12:55:56Z</dcterms:modified>
</cp:coreProperties>
</file>